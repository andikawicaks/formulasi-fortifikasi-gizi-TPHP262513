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wp/Documents/R-Studio/Praktikum Uji Sensoris/formulasi-fortifikasi-gizi/"/>
    </mc:Choice>
  </mc:AlternateContent>
  <xr:revisionPtr revIDLastSave="0" documentId="13_ncr:1_{944DA7B0-5679-BE43-B444-88FA8174AFB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ormulasi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Formulasi!$B$19:$B$31</definedName>
    <definedName name="solver_lhs2" localSheetId="0" hidden="1">Formulasi!$B$19:$B$31</definedName>
    <definedName name="solver_lhs3" localSheetId="0" hidden="1">Formulasi!$B$32</definedName>
    <definedName name="solver_lhs4" localSheetId="0" hidden="1">Formulasi!$B$32:$N$32</definedName>
    <definedName name="solver_lhs5" localSheetId="0" hidden="1">Formulasi!$B$32:$N$32</definedName>
    <definedName name="solver_lhs6" localSheetId="0" hidden="1">Formulasi!$B$44:$B$47</definedName>
    <definedName name="solver_lhs7" localSheetId="0" hidden="1">Formulasi!$E$32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Formulasi!$B$31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el7" localSheetId="0" hidden="1">2</definedName>
    <definedName name="solver_rhs1" localSheetId="0" hidden="1">Formulasi!$P$19:$P$31</definedName>
    <definedName name="solver_rhs2" localSheetId="0" hidden="1">Formulasi!$O$19:$O$31</definedName>
    <definedName name="solver_rhs3" localSheetId="0" hidden="1">100</definedName>
    <definedName name="solver_rhs4" localSheetId="0" hidden="1">Formulasi!$B$35:$N$35</definedName>
    <definedName name="solver_rhs5" localSheetId="0" hidden="1">Formulasi!$B$34:$N$34</definedName>
    <definedName name="solver_rhs6" localSheetId="0" hidden="1">0</definedName>
    <definedName name="solver_rhs7" localSheetId="0" hidden="1">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6" i="1" s="1"/>
  <c r="N31" i="1"/>
  <c r="M31" i="1"/>
  <c r="L31" i="1"/>
  <c r="K31" i="1"/>
  <c r="J31" i="1"/>
  <c r="I31" i="1"/>
  <c r="H31" i="1"/>
  <c r="G31" i="1"/>
  <c r="F31" i="1"/>
  <c r="E31" i="1"/>
  <c r="D31" i="1"/>
  <c r="C31" i="1"/>
  <c r="A31" i="1"/>
  <c r="N30" i="1"/>
  <c r="M30" i="1"/>
  <c r="L30" i="1"/>
  <c r="K30" i="1"/>
  <c r="J30" i="1"/>
  <c r="I30" i="1"/>
  <c r="H30" i="1"/>
  <c r="G30" i="1"/>
  <c r="F30" i="1"/>
  <c r="E30" i="1"/>
  <c r="D30" i="1"/>
  <c r="C30" i="1"/>
  <c r="A30" i="1"/>
  <c r="N29" i="1"/>
  <c r="M29" i="1"/>
  <c r="L29" i="1"/>
  <c r="K29" i="1"/>
  <c r="J29" i="1"/>
  <c r="I29" i="1"/>
  <c r="H29" i="1"/>
  <c r="G29" i="1"/>
  <c r="F29" i="1"/>
  <c r="E29" i="1"/>
  <c r="D29" i="1"/>
  <c r="C29" i="1"/>
  <c r="A29" i="1"/>
  <c r="N28" i="1"/>
  <c r="M28" i="1"/>
  <c r="L28" i="1"/>
  <c r="K28" i="1"/>
  <c r="J28" i="1"/>
  <c r="I28" i="1"/>
  <c r="H28" i="1"/>
  <c r="G28" i="1"/>
  <c r="F28" i="1"/>
  <c r="E28" i="1"/>
  <c r="D28" i="1"/>
  <c r="C28" i="1"/>
  <c r="A28" i="1"/>
  <c r="N27" i="1"/>
  <c r="M27" i="1"/>
  <c r="L27" i="1"/>
  <c r="K27" i="1"/>
  <c r="J27" i="1"/>
  <c r="I27" i="1"/>
  <c r="H27" i="1"/>
  <c r="G27" i="1"/>
  <c r="F27" i="1"/>
  <c r="E27" i="1"/>
  <c r="D27" i="1"/>
  <c r="C27" i="1"/>
  <c r="A27" i="1"/>
  <c r="N26" i="1"/>
  <c r="M26" i="1"/>
  <c r="L26" i="1"/>
  <c r="K26" i="1"/>
  <c r="J26" i="1"/>
  <c r="I26" i="1"/>
  <c r="H26" i="1"/>
  <c r="G26" i="1"/>
  <c r="F26" i="1"/>
  <c r="E26" i="1"/>
  <c r="D26" i="1"/>
  <c r="C26" i="1"/>
  <c r="A26" i="1"/>
  <c r="N25" i="1"/>
  <c r="M25" i="1"/>
  <c r="L25" i="1"/>
  <c r="K25" i="1"/>
  <c r="J25" i="1"/>
  <c r="I25" i="1"/>
  <c r="H25" i="1"/>
  <c r="G25" i="1"/>
  <c r="F25" i="1"/>
  <c r="E25" i="1"/>
  <c r="D25" i="1"/>
  <c r="C25" i="1"/>
  <c r="A25" i="1"/>
  <c r="N24" i="1"/>
  <c r="M24" i="1"/>
  <c r="L24" i="1"/>
  <c r="K24" i="1"/>
  <c r="J24" i="1"/>
  <c r="I24" i="1"/>
  <c r="H24" i="1"/>
  <c r="G24" i="1"/>
  <c r="F24" i="1"/>
  <c r="E24" i="1"/>
  <c r="D24" i="1"/>
  <c r="C24" i="1"/>
  <c r="A24" i="1"/>
  <c r="N23" i="1"/>
  <c r="M23" i="1"/>
  <c r="L23" i="1"/>
  <c r="K23" i="1"/>
  <c r="J23" i="1"/>
  <c r="I23" i="1"/>
  <c r="H23" i="1"/>
  <c r="G23" i="1"/>
  <c r="F23" i="1"/>
  <c r="E23" i="1"/>
  <c r="D23" i="1"/>
  <c r="C23" i="1"/>
  <c r="A23" i="1"/>
  <c r="N22" i="1"/>
  <c r="M22" i="1"/>
  <c r="L22" i="1"/>
  <c r="K22" i="1"/>
  <c r="J22" i="1"/>
  <c r="I22" i="1"/>
  <c r="H22" i="1"/>
  <c r="G22" i="1"/>
  <c r="F22" i="1"/>
  <c r="E22" i="1"/>
  <c r="D22" i="1"/>
  <c r="C22" i="1"/>
  <c r="A22" i="1"/>
  <c r="M21" i="1"/>
  <c r="L21" i="1"/>
  <c r="K21" i="1"/>
  <c r="J21" i="1"/>
  <c r="I21" i="1"/>
  <c r="H21" i="1"/>
  <c r="G21" i="1"/>
  <c r="F21" i="1"/>
  <c r="E21" i="1"/>
  <c r="D21" i="1"/>
  <c r="C21" i="1"/>
  <c r="A21" i="1"/>
  <c r="N20" i="1"/>
  <c r="M20" i="1"/>
  <c r="L20" i="1"/>
  <c r="K20" i="1"/>
  <c r="J20" i="1"/>
  <c r="I20" i="1"/>
  <c r="H20" i="1"/>
  <c r="G20" i="1"/>
  <c r="F20" i="1"/>
  <c r="E20" i="1"/>
  <c r="D20" i="1"/>
  <c r="C20" i="1"/>
  <c r="A20" i="1"/>
  <c r="N19" i="1"/>
  <c r="M19" i="1"/>
  <c r="L19" i="1"/>
  <c r="K19" i="1"/>
  <c r="J19" i="1"/>
  <c r="I19" i="1"/>
  <c r="H19" i="1"/>
  <c r="G19" i="1"/>
  <c r="F19" i="1"/>
  <c r="E19" i="1"/>
  <c r="D19" i="1"/>
  <c r="C19" i="1"/>
  <c r="A19" i="1"/>
  <c r="M15" i="1"/>
  <c r="M14" i="1"/>
  <c r="M13" i="1"/>
  <c r="M12" i="1"/>
  <c r="M11" i="1"/>
  <c r="M10" i="1"/>
  <c r="M9" i="1"/>
  <c r="M8" i="1"/>
  <c r="M7" i="1"/>
  <c r="M6" i="1"/>
  <c r="M5" i="1"/>
  <c r="N21" i="1" s="1"/>
  <c r="M4" i="1"/>
  <c r="M3" i="1"/>
  <c r="J32" i="1" l="1"/>
  <c r="J36" i="1" s="1"/>
  <c r="M32" i="1"/>
  <c r="M36" i="1" s="1"/>
  <c r="I32" i="1"/>
  <c r="I36" i="1" s="1"/>
  <c r="G32" i="1"/>
  <c r="G36" i="1" s="1"/>
  <c r="F32" i="1"/>
  <c r="F36" i="1" s="1"/>
  <c r="E32" i="1"/>
  <c r="N32" i="1"/>
  <c r="N36" i="1" s="1"/>
  <c r="H32" i="1"/>
  <c r="H36" i="1" s="1"/>
  <c r="D32" i="1"/>
  <c r="D36" i="1" s="1"/>
  <c r="C32" i="1"/>
  <c r="C36" i="1" s="1"/>
  <c r="L32" i="1"/>
  <c r="L36" i="1" s="1"/>
  <c r="K32" i="1"/>
  <c r="K36" i="1" s="1"/>
  <c r="B47" i="1" l="1"/>
  <c r="E36" i="1"/>
  <c r="B45" i="1"/>
  <c r="B40" i="1"/>
  <c r="E40" i="1" s="1"/>
  <c r="B44" i="1"/>
  <c r="B46" i="1"/>
  <c r="B41" i="1"/>
  <c r="E41" i="1" s="1"/>
</calcChain>
</file>

<file path=xl/sharedStrings.xml><?xml version="1.0" encoding="utf-8"?>
<sst xmlns="http://schemas.openxmlformats.org/spreadsheetml/2006/main" count="76" uniqueCount="62">
  <si>
    <t>Komposisi Bahan Baku (per 100 g bahan) — angka hipotetis untuk latihan</t>
  </si>
  <si>
    <t>Bahan Baku</t>
  </si>
  <si>
    <t>Air (g)</t>
  </si>
  <si>
    <t>Protein (g)</t>
  </si>
  <si>
    <t>Lemak (g)</t>
  </si>
  <si>
    <t>Karbohidrat (g)</t>
  </si>
  <si>
    <t>Gula tambahan (g)</t>
  </si>
  <si>
    <t>Serat (g)</t>
  </si>
  <si>
    <t>Ca (mg)</t>
  </si>
  <si>
    <t>P (mg)</t>
  </si>
  <si>
    <t>Fe (mg)</t>
  </si>
  <si>
    <t>Na (mg)</t>
  </si>
  <si>
    <t>DHA (mg)</t>
  </si>
  <si>
    <t>Energi (kkal)</t>
  </si>
  <si>
    <t>Susu skim bubuk</t>
  </si>
  <si>
    <t>Susu full cream bubuk</t>
  </si>
  <si>
    <t>Whey protein concentrate (WPC80)</t>
  </si>
  <si>
    <t>Isolat protein kedelai</t>
  </si>
  <si>
    <t>Maltodekstrin</t>
  </si>
  <si>
    <t>Gula pasir (sukrosa)</t>
  </si>
  <si>
    <t>Bubuk lemak nabati (70% lemak)</t>
  </si>
  <si>
    <t>Bubuk DHA (10% DHA)</t>
  </si>
  <si>
    <t>FOS-inulin</t>
  </si>
  <si>
    <t>Kakao bubuk</t>
  </si>
  <si>
    <t>Kalsium karbonat</t>
  </si>
  <si>
    <t>Trikalsium fosfat</t>
  </si>
  <si>
    <t>Premix vitamin-mineral</t>
  </si>
  <si>
    <t>Formula Susu Ibu Hamil</t>
  </si>
  <si>
    <t>Komposisi (%)</t>
  </si>
  <si>
    <t>Min (%)</t>
  </si>
  <si>
    <t>Max (%)</t>
  </si>
  <si>
    <t>Jumlah</t>
  </si>
  <si>
    <t>Kebutuhan minimum</t>
  </si>
  <si>
    <t>Kebutuhan maksimum</t>
  </si>
  <si>
    <t>Status</t>
  </si>
  <si>
    <t>Kendala rasio</t>
  </si>
  <si>
    <t>Rasio</t>
  </si>
  <si>
    <t>Nilai</t>
  </si>
  <si>
    <t>Min</t>
  </si>
  <si>
    <t>Max</t>
  </si>
  <si>
    <t>Rasio Ca : P</t>
  </si>
  <si>
    <t>Energi dari lemak (%)</t>
  </si>
  <si>
    <t>Bentuk linear kendala rasio (untuk Solver, nilainya harus ≥ 0)</t>
  </si>
  <si>
    <t>Ca − (rasio min × P)</t>
  </si>
  <si>
    <t>(rasio max × P) − Ca</t>
  </si>
  <si>
    <t>9×Lemak − (% min × Energi)</t>
  </si>
  <si>
    <t>(% max × Energi) − 9×Lemak</t>
  </si>
  <si>
    <t>Catatan</t>
  </si>
  <si>
    <t>• Sel kuning = komposisi (%) yang dicari Solver. Teks biru = input yang boleh diubah. Semua angka komposisi dan batas adalah hipotetis.</t>
  </si>
  <si>
    <t>• Gula tambahan adalah bagian dari karbohidrat. Energi = 4×protein + 9×lemak + 4×karbohidrat + 2×serat.</t>
  </si>
  <si>
    <t>• Premix vitamin-mineral dikunci 1% (Min = Max) dan menyumbang Fe dari fero fumarat.</t>
  </si>
  <si>
    <t>• Rasio Ca:P dan % energi dari lemak berbentuk pembagian (non-linear). Supaya bisa pakai Simplex LP, rasio diubah ke bentuk linear:</t>
  </si>
  <si>
    <t xml:space="preserve">   Ca/P ≥ 1  ⇔  Ca − 1×P ≥ 0;   9×Lemak/Energi ≥ 20%  ⇔  9×Lemak − 0,20×Energi ≥ 0 (dan seterusnya untuk batas maksimum).</t>
  </si>
  <si>
    <t>• Karena target berupa rentang, ada banyak kombinasi yang memenuhi. Jawaban Solver bisa berbeda-beda; yang penting semua Status = OK.</t>
  </si>
  <si>
    <t>Pengaturan Solver (sudah tersimpan di file ini; cukup buka Data → Solver → Solve):</t>
  </si>
  <si>
    <t>• Set Objective: $D$32 (protein), Value Of: 22</t>
  </si>
  <si>
    <t>• By Changing Variable Cells: $B$19:$B$31</t>
  </si>
  <si>
    <t>• $B$32 = 100</t>
  </si>
  <si>
    <t>• $B$19:$B$31 &gt;= $O$19:$O$31   dan   $B$19:$B$31 &lt;= $P$19:$P$31</t>
  </si>
  <si>
    <t>• $C$32:$N$32 &gt;= $C$34:$N$34   dan   $C$32:$N$32 &lt;= $C$35:$N$35</t>
  </si>
  <si>
    <t>• $B$44:$B$47 &gt;= 0</t>
  </si>
  <si>
    <t>• Centang Make Unconstrained Variables Non-Negative; metode: Simplex 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</si>
</sst>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1" fontId="4" fillId="0" borderId="1" xfId="0" applyNumberFormat="1" applyFont="1" applyBorder="1"/>
    <xf numFmtId="0" fontId="4" fillId="0" borderId="1" xfId="0" applyFont="1" applyBorder="1"/>
    <xf numFmtId="2" fontId="0" fillId="3" borderId="1" xfId="0" applyNumberFormat="1" applyFill="1" applyBorder="1"/>
    <xf numFmtId="2" fontId="4" fillId="0" borderId="1" xfId="0" applyNumberFormat="1" applyFont="1" applyBorder="1"/>
    <xf numFmtId="2" fontId="3" fillId="3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9" fontId="3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pane xSplit="1" ySplit="2" topLeftCell="B12" activePane="bottomRight" state="frozen"/>
      <selection pane="topRight"/>
      <selection pane="bottomLeft"/>
      <selection pane="bottomRight" activeCell="B31" sqref="B31"/>
    </sheetView>
  </sheetViews>
  <sheetFormatPr baseColWidth="10" defaultColWidth="8.83203125" defaultRowHeight="15" x14ac:dyDescent="0.2"/>
  <cols>
    <col min="1" max="1" width="34" customWidth="1"/>
    <col min="2" max="16" width="11" customWidth="1"/>
  </cols>
  <sheetData>
    <row r="1" spans="1:13" x14ac:dyDescent="0.2">
      <c r="A1" s="1" t="s">
        <v>0</v>
      </c>
    </row>
    <row r="2" spans="1:13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">
      <c r="A3" s="3" t="s">
        <v>14</v>
      </c>
      <c r="B3" s="4">
        <v>4</v>
      </c>
      <c r="C3" s="4">
        <v>34</v>
      </c>
      <c r="D3" s="4">
        <v>1</v>
      </c>
      <c r="E3" s="4">
        <v>52</v>
      </c>
      <c r="F3" s="4">
        <v>0</v>
      </c>
      <c r="G3" s="4">
        <v>0</v>
      </c>
      <c r="H3" s="4">
        <v>1250</v>
      </c>
      <c r="I3" s="4">
        <v>1000</v>
      </c>
      <c r="J3" s="4">
        <v>0.3</v>
      </c>
      <c r="K3" s="4">
        <v>500</v>
      </c>
      <c r="L3" s="4">
        <v>0</v>
      </c>
      <c r="M3" s="5">
        <f t="shared" ref="M3:M15" si="0">4*C3+9*D3+4*E3+2*G3</f>
        <v>353</v>
      </c>
    </row>
    <row r="4" spans="1:13" x14ac:dyDescent="0.2">
      <c r="A4" s="3" t="s">
        <v>15</v>
      </c>
      <c r="B4" s="4">
        <v>3</v>
      </c>
      <c r="C4" s="4">
        <v>26</v>
      </c>
      <c r="D4" s="4">
        <v>27</v>
      </c>
      <c r="E4" s="4">
        <v>38</v>
      </c>
      <c r="F4" s="4">
        <v>0</v>
      </c>
      <c r="G4" s="4">
        <v>0</v>
      </c>
      <c r="H4" s="4">
        <v>950</v>
      </c>
      <c r="I4" s="4">
        <v>750</v>
      </c>
      <c r="J4" s="4">
        <v>0.3</v>
      </c>
      <c r="K4" s="4">
        <v>370</v>
      </c>
      <c r="L4" s="4">
        <v>0</v>
      </c>
      <c r="M4" s="5">
        <f t="shared" si="0"/>
        <v>499</v>
      </c>
    </row>
    <row r="5" spans="1:13" x14ac:dyDescent="0.2">
      <c r="A5" s="3" t="s">
        <v>16</v>
      </c>
      <c r="B5" s="4">
        <v>5</v>
      </c>
      <c r="C5" s="4">
        <v>80</v>
      </c>
      <c r="D5" s="4">
        <v>6</v>
      </c>
      <c r="E5" s="4">
        <v>6</v>
      </c>
      <c r="F5" s="4">
        <v>0</v>
      </c>
      <c r="G5" s="4">
        <v>0</v>
      </c>
      <c r="H5" s="4">
        <v>500</v>
      </c>
      <c r="I5" s="4">
        <v>350</v>
      </c>
      <c r="J5" s="4">
        <v>1</v>
      </c>
      <c r="K5" s="4">
        <v>200</v>
      </c>
      <c r="L5" s="4">
        <v>0</v>
      </c>
      <c r="M5" s="5">
        <f t="shared" si="0"/>
        <v>398</v>
      </c>
    </row>
    <row r="6" spans="1:13" x14ac:dyDescent="0.2">
      <c r="A6" s="3" t="s">
        <v>17</v>
      </c>
      <c r="B6" s="4">
        <v>5</v>
      </c>
      <c r="C6" s="4">
        <v>88</v>
      </c>
      <c r="D6" s="4">
        <v>1</v>
      </c>
      <c r="E6" s="4">
        <v>2</v>
      </c>
      <c r="F6" s="4">
        <v>0</v>
      </c>
      <c r="G6" s="4">
        <v>0</v>
      </c>
      <c r="H6" s="4">
        <v>180</v>
      </c>
      <c r="I6" s="4">
        <v>780</v>
      </c>
      <c r="J6" s="4">
        <v>14</v>
      </c>
      <c r="K6" s="4">
        <v>1000</v>
      </c>
      <c r="L6" s="4">
        <v>0</v>
      </c>
      <c r="M6" s="5">
        <f t="shared" si="0"/>
        <v>369</v>
      </c>
    </row>
    <row r="7" spans="1:13" x14ac:dyDescent="0.2">
      <c r="A7" s="3" t="s">
        <v>18</v>
      </c>
      <c r="B7" s="4">
        <v>5</v>
      </c>
      <c r="C7" s="4">
        <v>0</v>
      </c>
      <c r="D7" s="4">
        <v>0</v>
      </c>
      <c r="E7" s="4">
        <v>95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5">
        <f t="shared" si="0"/>
        <v>380</v>
      </c>
    </row>
    <row r="8" spans="1:13" x14ac:dyDescent="0.2">
      <c r="A8" s="3" t="s">
        <v>19</v>
      </c>
      <c r="B8" s="4">
        <v>0</v>
      </c>
      <c r="C8" s="4">
        <v>0</v>
      </c>
      <c r="D8" s="4">
        <v>0</v>
      </c>
      <c r="E8" s="4">
        <v>100</v>
      </c>
      <c r="F8" s="4">
        <v>100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f t="shared" si="0"/>
        <v>400</v>
      </c>
    </row>
    <row r="9" spans="1:13" x14ac:dyDescent="0.2">
      <c r="A9" s="3" t="s">
        <v>20</v>
      </c>
      <c r="B9" s="4">
        <v>2</v>
      </c>
      <c r="C9" s="4">
        <v>3</v>
      </c>
      <c r="D9" s="4">
        <v>70</v>
      </c>
      <c r="E9" s="4">
        <v>23</v>
      </c>
      <c r="F9" s="4">
        <v>0</v>
      </c>
      <c r="G9" s="4">
        <v>0</v>
      </c>
      <c r="H9" s="4">
        <v>20</v>
      </c>
      <c r="I9" s="4">
        <v>30</v>
      </c>
      <c r="J9" s="4">
        <v>0</v>
      </c>
      <c r="K9" s="4">
        <v>50</v>
      </c>
      <c r="L9" s="4">
        <v>0</v>
      </c>
      <c r="M9" s="5">
        <f t="shared" si="0"/>
        <v>734</v>
      </c>
    </row>
    <row r="10" spans="1:13" x14ac:dyDescent="0.2">
      <c r="A10" s="3" t="s">
        <v>21</v>
      </c>
      <c r="B10" s="4">
        <v>3</v>
      </c>
      <c r="C10" s="4">
        <v>10</v>
      </c>
      <c r="D10" s="4">
        <v>45</v>
      </c>
      <c r="E10" s="4">
        <v>40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10000</v>
      </c>
      <c r="M10" s="5">
        <f t="shared" si="0"/>
        <v>605</v>
      </c>
    </row>
    <row r="11" spans="1:13" x14ac:dyDescent="0.2">
      <c r="A11" s="3" t="s">
        <v>22</v>
      </c>
      <c r="B11" s="4">
        <v>5</v>
      </c>
      <c r="C11" s="4">
        <v>0</v>
      </c>
      <c r="D11" s="4">
        <v>0</v>
      </c>
      <c r="E11" s="4">
        <v>0</v>
      </c>
      <c r="F11" s="4">
        <v>0</v>
      </c>
      <c r="G11" s="4">
        <v>95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5">
        <f t="shared" si="0"/>
        <v>190</v>
      </c>
    </row>
    <row r="12" spans="1:13" x14ac:dyDescent="0.2">
      <c r="A12" s="3" t="s">
        <v>23</v>
      </c>
      <c r="B12" s="4">
        <v>3</v>
      </c>
      <c r="C12" s="4">
        <v>20</v>
      </c>
      <c r="D12" s="4">
        <v>11</v>
      </c>
      <c r="E12" s="4">
        <v>25</v>
      </c>
      <c r="F12" s="4">
        <v>0</v>
      </c>
      <c r="G12" s="4">
        <v>33</v>
      </c>
      <c r="H12" s="4">
        <v>130</v>
      </c>
      <c r="I12" s="4">
        <v>730</v>
      </c>
      <c r="J12" s="4">
        <v>14</v>
      </c>
      <c r="K12" s="4">
        <v>20</v>
      </c>
      <c r="L12" s="4">
        <v>0</v>
      </c>
      <c r="M12" s="5">
        <f t="shared" si="0"/>
        <v>345</v>
      </c>
    </row>
    <row r="13" spans="1:13" x14ac:dyDescent="0.2">
      <c r="A13" s="3" t="s">
        <v>24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40000</v>
      </c>
      <c r="I13" s="4">
        <v>0</v>
      </c>
      <c r="J13" s="4">
        <v>0</v>
      </c>
      <c r="K13" s="4">
        <v>0</v>
      </c>
      <c r="L13" s="4">
        <v>0</v>
      </c>
      <c r="M13" s="5">
        <f t="shared" si="0"/>
        <v>0</v>
      </c>
    </row>
    <row r="14" spans="1:13" x14ac:dyDescent="0.2">
      <c r="A14" s="3" t="s">
        <v>25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38000</v>
      </c>
      <c r="I14" s="4">
        <v>18000</v>
      </c>
      <c r="J14" s="4">
        <v>0</v>
      </c>
      <c r="K14" s="4">
        <v>0</v>
      </c>
      <c r="L14" s="4">
        <v>0</v>
      </c>
      <c r="M14" s="5">
        <f t="shared" si="0"/>
        <v>0</v>
      </c>
    </row>
    <row r="15" spans="1:13" x14ac:dyDescent="0.2">
      <c r="A15" s="3" t="s">
        <v>26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1200</v>
      </c>
      <c r="K15" s="4">
        <v>0</v>
      </c>
      <c r="L15" s="4">
        <v>0</v>
      </c>
      <c r="M15" s="5">
        <f t="shared" si="0"/>
        <v>0</v>
      </c>
    </row>
    <row r="17" spans="1:16" x14ac:dyDescent="0.2">
      <c r="A17" s="1" t="s">
        <v>27</v>
      </c>
    </row>
    <row r="18" spans="1:16" ht="30" customHeight="1" x14ac:dyDescent="0.2">
      <c r="A18" s="2" t="s">
        <v>1</v>
      </c>
      <c r="B18" s="2" t="s">
        <v>28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  <c r="O18" s="2" t="s">
        <v>29</v>
      </c>
      <c r="P18" s="2" t="s">
        <v>30</v>
      </c>
    </row>
    <row r="19" spans="1:16" x14ac:dyDescent="0.2">
      <c r="A19" s="6" t="str">
        <f t="shared" ref="A19:A31" si="1">A3</f>
        <v>Susu skim bubuk</v>
      </c>
      <c r="B19" s="7">
        <v>0</v>
      </c>
      <c r="C19" s="8">
        <f t="shared" ref="C19:N19" si="2">$B19/100*B3</f>
        <v>0</v>
      </c>
      <c r="D19" s="8">
        <f t="shared" si="2"/>
        <v>0</v>
      </c>
      <c r="E19" s="8">
        <f t="shared" si="2"/>
        <v>0</v>
      </c>
      <c r="F19" s="8">
        <f t="shared" si="2"/>
        <v>0</v>
      </c>
      <c r="G19" s="8">
        <f t="shared" si="2"/>
        <v>0</v>
      </c>
      <c r="H19" s="8">
        <f t="shared" si="2"/>
        <v>0</v>
      </c>
      <c r="I19" s="8">
        <f t="shared" si="2"/>
        <v>0</v>
      </c>
      <c r="J19" s="8">
        <f t="shared" si="2"/>
        <v>0</v>
      </c>
      <c r="K19" s="8">
        <f t="shared" si="2"/>
        <v>0</v>
      </c>
      <c r="L19" s="8">
        <f t="shared" si="2"/>
        <v>0</v>
      </c>
      <c r="M19" s="8">
        <f t="shared" si="2"/>
        <v>0</v>
      </c>
      <c r="N19" s="8">
        <f t="shared" si="2"/>
        <v>0</v>
      </c>
      <c r="O19" s="4">
        <v>0</v>
      </c>
      <c r="P19" s="4">
        <v>70</v>
      </c>
    </row>
    <row r="20" spans="1:16" x14ac:dyDescent="0.2">
      <c r="A20" s="6" t="str">
        <f t="shared" si="1"/>
        <v>Susu full cream bubuk</v>
      </c>
      <c r="B20" s="7">
        <v>0</v>
      </c>
      <c r="C20" s="8">
        <f t="shared" ref="C20:N20" si="3">$B20/100*B4</f>
        <v>0</v>
      </c>
      <c r="D20" s="8">
        <f t="shared" si="3"/>
        <v>0</v>
      </c>
      <c r="E20" s="8">
        <f t="shared" si="3"/>
        <v>0</v>
      </c>
      <c r="F20" s="8">
        <f t="shared" si="3"/>
        <v>0</v>
      </c>
      <c r="G20" s="8">
        <f t="shared" si="3"/>
        <v>0</v>
      </c>
      <c r="H20" s="8">
        <f t="shared" si="3"/>
        <v>0</v>
      </c>
      <c r="I20" s="8">
        <f t="shared" si="3"/>
        <v>0</v>
      </c>
      <c r="J20" s="8">
        <f t="shared" si="3"/>
        <v>0</v>
      </c>
      <c r="K20" s="8">
        <f t="shared" si="3"/>
        <v>0</v>
      </c>
      <c r="L20" s="8">
        <f t="shared" si="3"/>
        <v>0</v>
      </c>
      <c r="M20" s="8">
        <f t="shared" si="3"/>
        <v>0</v>
      </c>
      <c r="N20" s="8">
        <f t="shared" si="3"/>
        <v>0</v>
      </c>
      <c r="O20" s="4">
        <v>0</v>
      </c>
      <c r="P20" s="4">
        <v>40</v>
      </c>
    </row>
    <row r="21" spans="1:16" x14ac:dyDescent="0.2">
      <c r="A21" s="6" t="str">
        <f t="shared" si="1"/>
        <v>Whey protein concentrate (WPC80)</v>
      </c>
      <c r="B21" s="7">
        <v>0</v>
      </c>
      <c r="C21" s="8">
        <f t="shared" ref="C21:N21" si="4">$B21/100*B5</f>
        <v>0</v>
      </c>
      <c r="D21" s="8">
        <f t="shared" si="4"/>
        <v>0</v>
      </c>
      <c r="E21" s="8">
        <f t="shared" si="4"/>
        <v>0</v>
      </c>
      <c r="F21" s="8">
        <f t="shared" si="4"/>
        <v>0</v>
      </c>
      <c r="G21" s="8">
        <f t="shared" si="4"/>
        <v>0</v>
      </c>
      <c r="H21" s="8">
        <f t="shared" si="4"/>
        <v>0</v>
      </c>
      <c r="I21" s="8">
        <f t="shared" si="4"/>
        <v>0</v>
      </c>
      <c r="J21" s="8">
        <f t="shared" si="4"/>
        <v>0</v>
      </c>
      <c r="K21" s="8">
        <f t="shared" si="4"/>
        <v>0</v>
      </c>
      <c r="L21" s="8">
        <f t="shared" si="4"/>
        <v>0</v>
      </c>
      <c r="M21" s="8">
        <f t="shared" si="4"/>
        <v>0</v>
      </c>
      <c r="N21" s="8">
        <f t="shared" si="4"/>
        <v>0</v>
      </c>
      <c r="O21" s="4">
        <v>0</v>
      </c>
      <c r="P21" s="4">
        <v>15</v>
      </c>
    </row>
    <row r="22" spans="1:16" x14ac:dyDescent="0.2">
      <c r="A22" s="6" t="str">
        <f t="shared" si="1"/>
        <v>Isolat protein kedelai</v>
      </c>
      <c r="B22" s="7">
        <v>0</v>
      </c>
      <c r="C22" s="8">
        <f t="shared" ref="C22:N22" si="5">$B22/100*B6</f>
        <v>0</v>
      </c>
      <c r="D22" s="8">
        <f t="shared" si="5"/>
        <v>0</v>
      </c>
      <c r="E22" s="8">
        <f t="shared" si="5"/>
        <v>0</v>
      </c>
      <c r="F22" s="8">
        <f t="shared" si="5"/>
        <v>0</v>
      </c>
      <c r="G22" s="8">
        <f t="shared" si="5"/>
        <v>0</v>
      </c>
      <c r="H22" s="8">
        <f t="shared" si="5"/>
        <v>0</v>
      </c>
      <c r="I22" s="8">
        <f t="shared" si="5"/>
        <v>0</v>
      </c>
      <c r="J22" s="8">
        <f t="shared" si="5"/>
        <v>0</v>
      </c>
      <c r="K22" s="8">
        <f t="shared" si="5"/>
        <v>0</v>
      </c>
      <c r="L22" s="8">
        <f t="shared" si="5"/>
        <v>0</v>
      </c>
      <c r="M22" s="8">
        <f t="shared" si="5"/>
        <v>0</v>
      </c>
      <c r="N22" s="8">
        <f t="shared" si="5"/>
        <v>0</v>
      </c>
      <c r="O22" s="4">
        <v>0</v>
      </c>
      <c r="P22" s="4">
        <v>10</v>
      </c>
    </row>
    <row r="23" spans="1:16" x14ac:dyDescent="0.2">
      <c r="A23" s="6" t="str">
        <f t="shared" si="1"/>
        <v>Maltodekstrin</v>
      </c>
      <c r="B23" s="7">
        <v>0</v>
      </c>
      <c r="C23" s="8">
        <f t="shared" ref="C23:N23" si="6">$B23/100*B7</f>
        <v>0</v>
      </c>
      <c r="D23" s="8">
        <f t="shared" si="6"/>
        <v>0</v>
      </c>
      <c r="E23" s="8">
        <f t="shared" si="6"/>
        <v>0</v>
      </c>
      <c r="F23" s="8">
        <f t="shared" si="6"/>
        <v>0</v>
      </c>
      <c r="G23" s="8">
        <f t="shared" si="6"/>
        <v>0</v>
      </c>
      <c r="H23" s="8">
        <f t="shared" si="6"/>
        <v>0</v>
      </c>
      <c r="I23" s="8">
        <f t="shared" si="6"/>
        <v>0</v>
      </c>
      <c r="J23" s="8">
        <f t="shared" si="6"/>
        <v>0</v>
      </c>
      <c r="K23" s="8">
        <f t="shared" si="6"/>
        <v>0</v>
      </c>
      <c r="L23" s="8">
        <f t="shared" si="6"/>
        <v>0</v>
      </c>
      <c r="M23" s="8">
        <f t="shared" si="6"/>
        <v>0</v>
      </c>
      <c r="N23" s="8">
        <f t="shared" si="6"/>
        <v>0</v>
      </c>
      <c r="O23" s="4">
        <v>0</v>
      </c>
      <c r="P23" s="4">
        <v>50</v>
      </c>
    </row>
    <row r="24" spans="1:16" x14ac:dyDescent="0.2">
      <c r="A24" s="6" t="str">
        <f t="shared" si="1"/>
        <v>Gula pasir (sukrosa)</v>
      </c>
      <c r="B24" s="7">
        <v>0</v>
      </c>
      <c r="C24" s="8">
        <f t="shared" ref="C24:N24" si="7">$B24/100*B8</f>
        <v>0</v>
      </c>
      <c r="D24" s="8">
        <f t="shared" si="7"/>
        <v>0</v>
      </c>
      <c r="E24" s="8">
        <f t="shared" si="7"/>
        <v>0</v>
      </c>
      <c r="F24" s="8">
        <f t="shared" si="7"/>
        <v>0</v>
      </c>
      <c r="G24" s="8">
        <f t="shared" si="7"/>
        <v>0</v>
      </c>
      <c r="H24" s="8">
        <f t="shared" si="7"/>
        <v>0</v>
      </c>
      <c r="I24" s="8">
        <f t="shared" si="7"/>
        <v>0</v>
      </c>
      <c r="J24" s="8">
        <f t="shared" si="7"/>
        <v>0</v>
      </c>
      <c r="K24" s="8">
        <f t="shared" si="7"/>
        <v>0</v>
      </c>
      <c r="L24" s="8">
        <f t="shared" si="7"/>
        <v>0</v>
      </c>
      <c r="M24" s="8">
        <f t="shared" si="7"/>
        <v>0</v>
      </c>
      <c r="N24" s="8">
        <f t="shared" si="7"/>
        <v>0</v>
      </c>
      <c r="O24" s="4">
        <v>0</v>
      </c>
      <c r="P24" s="4">
        <v>10</v>
      </c>
    </row>
    <row r="25" spans="1:16" x14ac:dyDescent="0.2">
      <c r="A25" s="6" t="str">
        <f t="shared" si="1"/>
        <v>Bubuk lemak nabati (70% lemak)</v>
      </c>
      <c r="B25" s="7">
        <v>0</v>
      </c>
      <c r="C25" s="8">
        <f t="shared" ref="C25:N25" si="8">$B25/100*B9</f>
        <v>0</v>
      </c>
      <c r="D25" s="8">
        <f t="shared" si="8"/>
        <v>0</v>
      </c>
      <c r="E25" s="8">
        <f t="shared" si="8"/>
        <v>0</v>
      </c>
      <c r="F25" s="8">
        <f t="shared" si="8"/>
        <v>0</v>
      </c>
      <c r="G25" s="8">
        <f t="shared" si="8"/>
        <v>0</v>
      </c>
      <c r="H25" s="8">
        <f t="shared" si="8"/>
        <v>0</v>
      </c>
      <c r="I25" s="8">
        <f t="shared" si="8"/>
        <v>0</v>
      </c>
      <c r="J25" s="8">
        <f t="shared" si="8"/>
        <v>0</v>
      </c>
      <c r="K25" s="8">
        <f t="shared" si="8"/>
        <v>0</v>
      </c>
      <c r="L25" s="8">
        <f t="shared" si="8"/>
        <v>0</v>
      </c>
      <c r="M25" s="8">
        <f t="shared" si="8"/>
        <v>0</v>
      </c>
      <c r="N25" s="8">
        <f t="shared" si="8"/>
        <v>0</v>
      </c>
      <c r="O25" s="4">
        <v>0</v>
      </c>
      <c r="P25" s="4">
        <v>15</v>
      </c>
    </row>
    <row r="26" spans="1:16" x14ac:dyDescent="0.2">
      <c r="A26" s="6" t="str">
        <f t="shared" si="1"/>
        <v>Bubuk DHA (10% DHA)</v>
      </c>
      <c r="B26" s="7">
        <v>0</v>
      </c>
      <c r="C26" s="8">
        <f t="shared" ref="C26:N26" si="9">$B26/100*B10</f>
        <v>0</v>
      </c>
      <c r="D26" s="8">
        <f t="shared" si="9"/>
        <v>0</v>
      </c>
      <c r="E26" s="8">
        <f t="shared" si="9"/>
        <v>0</v>
      </c>
      <c r="F26" s="8">
        <f t="shared" si="9"/>
        <v>0</v>
      </c>
      <c r="G26" s="8">
        <f t="shared" si="9"/>
        <v>0</v>
      </c>
      <c r="H26" s="8">
        <f t="shared" si="9"/>
        <v>0</v>
      </c>
      <c r="I26" s="8">
        <f t="shared" si="9"/>
        <v>0</v>
      </c>
      <c r="J26" s="8">
        <f t="shared" si="9"/>
        <v>0</v>
      </c>
      <c r="K26" s="8">
        <f t="shared" si="9"/>
        <v>0</v>
      </c>
      <c r="L26" s="8">
        <f t="shared" si="9"/>
        <v>0</v>
      </c>
      <c r="M26" s="8">
        <f t="shared" si="9"/>
        <v>0</v>
      </c>
      <c r="N26" s="8">
        <f t="shared" si="9"/>
        <v>0</v>
      </c>
      <c r="O26" s="4">
        <v>0</v>
      </c>
      <c r="P26" s="4">
        <v>3</v>
      </c>
    </row>
    <row r="27" spans="1:16" x14ac:dyDescent="0.2">
      <c r="A27" s="6" t="str">
        <f t="shared" si="1"/>
        <v>FOS-inulin</v>
      </c>
      <c r="B27" s="7">
        <v>0</v>
      </c>
      <c r="C27" s="8">
        <f t="shared" ref="C27:N27" si="10">$B27/100*B11</f>
        <v>0</v>
      </c>
      <c r="D27" s="8">
        <f t="shared" si="10"/>
        <v>0</v>
      </c>
      <c r="E27" s="8">
        <f t="shared" si="10"/>
        <v>0</v>
      </c>
      <c r="F27" s="8">
        <f t="shared" si="10"/>
        <v>0</v>
      </c>
      <c r="G27" s="8">
        <f t="shared" si="10"/>
        <v>0</v>
      </c>
      <c r="H27" s="8">
        <f t="shared" si="10"/>
        <v>0</v>
      </c>
      <c r="I27" s="8">
        <f t="shared" si="10"/>
        <v>0</v>
      </c>
      <c r="J27" s="8">
        <f t="shared" si="10"/>
        <v>0</v>
      </c>
      <c r="K27" s="8">
        <f t="shared" si="10"/>
        <v>0</v>
      </c>
      <c r="L27" s="8">
        <f t="shared" si="10"/>
        <v>0</v>
      </c>
      <c r="M27" s="8">
        <f t="shared" si="10"/>
        <v>0</v>
      </c>
      <c r="N27" s="8">
        <f t="shared" si="10"/>
        <v>0</v>
      </c>
      <c r="O27" s="4">
        <v>3</v>
      </c>
      <c r="P27" s="4">
        <v>5</v>
      </c>
    </row>
    <row r="28" spans="1:16" x14ac:dyDescent="0.2">
      <c r="A28" s="6" t="str">
        <f t="shared" si="1"/>
        <v>Kakao bubuk</v>
      </c>
      <c r="B28" s="7">
        <v>0</v>
      </c>
      <c r="C28" s="8">
        <f t="shared" ref="C28:N28" si="11">$B28/100*B12</f>
        <v>0</v>
      </c>
      <c r="D28" s="8">
        <f t="shared" si="11"/>
        <v>0</v>
      </c>
      <c r="E28" s="8">
        <f t="shared" si="11"/>
        <v>0</v>
      </c>
      <c r="F28" s="8">
        <f t="shared" si="11"/>
        <v>0</v>
      </c>
      <c r="G28" s="8">
        <f t="shared" si="11"/>
        <v>0</v>
      </c>
      <c r="H28" s="8">
        <f t="shared" si="11"/>
        <v>0</v>
      </c>
      <c r="I28" s="8">
        <f t="shared" si="11"/>
        <v>0</v>
      </c>
      <c r="J28" s="8">
        <f t="shared" si="11"/>
        <v>0</v>
      </c>
      <c r="K28" s="8">
        <f t="shared" si="11"/>
        <v>0</v>
      </c>
      <c r="L28" s="8">
        <f t="shared" si="11"/>
        <v>0</v>
      </c>
      <c r="M28" s="8">
        <f t="shared" si="11"/>
        <v>0</v>
      </c>
      <c r="N28" s="8">
        <f t="shared" si="11"/>
        <v>0</v>
      </c>
      <c r="O28" s="4">
        <v>0</v>
      </c>
      <c r="P28" s="4">
        <v>5</v>
      </c>
    </row>
    <row r="29" spans="1:16" x14ac:dyDescent="0.2">
      <c r="A29" s="6" t="str">
        <f t="shared" si="1"/>
        <v>Kalsium karbonat</v>
      </c>
      <c r="B29" s="7">
        <v>0</v>
      </c>
      <c r="C29" s="8">
        <f t="shared" ref="C29:N29" si="12">$B29/100*B13</f>
        <v>0</v>
      </c>
      <c r="D29" s="8">
        <f t="shared" si="12"/>
        <v>0</v>
      </c>
      <c r="E29" s="8">
        <f t="shared" si="12"/>
        <v>0</v>
      </c>
      <c r="F29" s="8">
        <f t="shared" si="12"/>
        <v>0</v>
      </c>
      <c r="G29" s="8">
        <f t="shared" si="12"/>
        <v>0</v>
      </c>
      <c r="H29" s="8">
        <f t="shared" si="12"/>
        <v>0</v>
      </c>
      <c r="I29" s="8">
        <f t="shared" si="12"/>
        <v>0</v>
      </c>
      <c r="J29" s="8">
        <f t="shared" si="12"/>
        <v>0</v>
      </c>
      <c r="K29" s="8">
        <f t="shared" si="12"/>
        <v>0</v>
      </c>
      <c r="L29" s="8">
        <f t="shared" si="12"/>
        <v>0</v>
      </c>
      <c r="M29" s="8">
        <f t="shared" si="12"/>
        <v>0</v>
      </c>
      <c r="N29" s="8">
        <f t="shared" si="12"/>
        <v>0</v>
      </c>
      <c r="O29" s="4">
        <v>0</v>
      </c>
      <c r="P29" s="4">
        <v>2</v>
      </c>
    </row>
    <row r="30" spans="1:16" x14ac:dyDescent="0.2">
      <c r="A30" s="6" t="str">
        <f t="shared" si="1"/>
        <v>Trikalsium fosfat</v>
      </c>
      <c r="B30" s="7">
        <v>0</v>
      </c>
      <c r="C30" s="8">
        <f t="shared" ref="C30:N30" si="13">$B30/100*B14</f>
        <v>0</v>
      </c>
      <c r="D30" s="8">
        <f t="shared" si="13"/>
        <v>0</v>
      </c>
      <c r="E30" s="8">
        <f t="shared" si="13"/>
        <v>0</v>
      </c>
      <c r="F30" s="8">
        <f t="shared" si="13"/>
        <v>0</v>
      </c>
      <c r="G30" s="8">
        <f t="shared" si="13"/>
        <v>0</v>
      </c>
      <c r="H30" s="8">
        <f t="shared" si="13"/>
        <v>0</v>
      </c>
      <c r="I30" s="8">
        <f t="shared" si="13"/>
        <v>0</v>
      </c>
      <c r="J30" s="8">
        <f t="shared" si="13"/>
        <v>0</v>
      </c>
      <c r="K30" s="8">
        <f t="shared" si="13"/>
        <v>0</v>
      </c>
      <c r="L30" s="8">
        <f t="shared" si="13"/>
        <v>0</v>
      </c>
      <c r="M30" s="8">
        <f t="shared" si="13"/>
        <v>0</v>
      </c>
      <c r="N30" s="8">
        <f t="shared" si="13"/>
        <v>0</v>
      </c>
      <c r="O30" s="4">
        <v>0</v>
      </c>
      <c r="P30" s="4">
        <v>2</v>
      </c>
    </row>
    <row r="31" spans="1:16" x14ac:dyDescent="0.2">
      <c r="A31" s="6" t="str">
        <f t="shared" si="1"/>
        <v>Premix vitamin-mineral</v>
      </c>
      <c r="B31" s="9">
        <v>0</v>
      </c>
      <c r="C31" s="8">
        <f t="shared" ref="C31:N31" si="14">$B31/100*B15</f>
        <v>0</v>
      </c>
      <c r="D31" s="8">
        <f t="shared" si="14"/>
        <v>0</v>
      </c>
      <c r="E31" s="8">
        <f t="shared" si="14"/>
        <v>0</v>
      </c>
      <c r="F31" s="8">
        <f t="shared" si="14"/>
        <v>0</v>
      </c>
      <c r="G31" s="8">
        <f t="shared" si="14"/>
        <v>0</v>
      </c>
      <c r="H31" s="8">
        <f t="shared" si="14"/>
        <v>0</v>
      </c>
      <c r="I31" s="8">
        <f t="shared" si="14"/>
        <v>0</v>
      </c>
      <c r="J31" s="8">
        <f t="shared" si="14"/>
        <v>0</v>
      </c>
      <c r="K31" s="8">
        <f t="shared" si="14"/>
        <v>0</v>
      </c>
      <c r="L31" s="8">
        <f t="shared" si="14"/>
        <v>0</v>
      </c>
      <c r="M31" s="8">
        <f t="shared" si="14"/>
        <v>0</v>
      </c>
      <c r="N31" s="8">
        <f t="shared" si="14"/>
        <v>0</v>
      </c>
      <c r="O31" s="4">
        <v>1</v>
      </c>
      <c r="P31" s="4">
        <v>1</v>
      </c>
    </row>
    <row r="32" spans="1:16" x14ac:dyDescent="0.2">
      <c r="A32" s="10" t="s">
        <v>31</v>
      </c>
      <c r="B32" s="11">
        <f t="shared" ref="B32:N32" si="15">SUM(B19:B31)</f>
        <v>0</v>
      </c>
      <c r="C32" s="11">
        <f t="shared" si="15"/>
        <v>0</v>
      </c>
      <c r="D32" s="11">
        <f t="shared" si="15"/>
        <v>0</v>
      </c>
      <c r="E32" s="11">
        <f t="shared" si="15"/>
        <v>0</v>
      </c>
      <c r="F32" s="11">
        <f t="shared" si="15"/>
        <v>0</v>
      </c>
      <c r="G32" s="11">
        <f t="shared" si="15"/>
        <v>0</v>
      </c>
      <c r="H32" s="11">
        <f t="shared" si="15"/>
        <v>0</v>
      </c>
      <c r="I32" s="11">
        <f t="shared" si="15"/>
        <v>0</v>
      </c>
      <c r="J32" s="11">
        <f t="shared" si="15"/>
        <v>0</v>
      </c>
      <c r="K32" s="11">
        <f t="shared" si="15"/>
        <v>0</v>
      </c>
      <c r="L32" s="11">
        <f t="shared" si="15"/>
        <v>0</v>
      </c>
      <c r="M32" s="11">
        <f t="shared" si="15"/>
        <v>0</v>
      </c>
      <c r="N32" s="11">
        <f t="shared" si="15"/>
        <v>0</v>
      </c>
    </row>
    <row r="34" spans="1:14" x14ac:dyDescent="0.2">
      <c r="A34" s="12" t="s">
        <v>32</v>
      </c>
      <c r="B34" s="4">
        <v>100</v>
      </c>
      <c r="C34" s="4">
        <v>0</v>
      </c>
      <c r="D34" s="4">
        <v>18</v>
      </c>
      <c r="E34" s="4">
        <v>3.5</v>
      </c>
      <c r="F34" s="4">
        <v>0</v>
      </c>
      <c r="G34" s="4">
        <v>0</v>
      </c>
      <c r="H34" s="4">
        <v>3</v>
      </c>
      <c r="I34" s="4">
        <v>200</v>
      </c>
      <c r="J34" s="4">
        <v>600</v>
      </c>
      <c r="K34" s="4">
        <v>10</v>
      </c>
      <c r="L34" s="4">
        <v>0</v>
      </c>
      <c r="M34" s="4">
        <v>100</v>
      </c>
      <c r="N34" s="4">
        <v>325</v>
      </c>
    </row>
    <row r="35" spans="1:14" x14ac:dyDescent="0.2">
      <c r="A35" s="12" t="s">
        <v>33</v>
      </c>
      <c r="B35" s="4">
        <v>100</v>
      </c>
      <c r="C35" s="4">
        <v>4</v>
      </c>
      <c r="D35" s="4">
        <v>25</v>
      </c>
      <c r="E35" s="4">
        <v>15</v>
      </c>
      <c r="F35" s="4">
        <v>65</v>
      </c>
      <c r="G35" s="4">
        <v>10</v>
      </c>
      <c r="H35" s="4">
        <v>6</v>
      </c>
      <c r="I35" s="4">
        <v>950</v>
      </c>
      <c r="J35" s="4">
        <v>1000</v>
      </c>
      <c r="K35" s="4">
        <v>33</v>
      </c>
      <c r="L35" s="4">
        <v>500</v>
      </c>
      <c r="M35" s="4">
        <v>300</v>
      </c>
      <c r="N35" s="4">
        <v>500</v>
      </c>
    </row>
    <row r="36" spans="1:14" x14ac:dyDescent="0.2">
      <c r="A36" s="12" t="s">
        <v>34</v>
      </c>
      <c r="B36" s="13" t="str">
        <f t="shared" ref="B36:N36" si="16">IF(AND(B32&gt;=B34-0.001,B32&lt;=B35+0.001),"OK","Belum")</f>
        <v>Belum</v>
      </c>
      <c r="C36" s="13" t="str">
        <f t="shared" si="16"/>
        <v>OK</v>
      </c>
      <c r="D36" s="13" t="str">
        <f t="shared" si="16"/>
        <v>Belum</v>
      </c>
      <c r="E36" s="13" t="str">
        <f t="shared" si="16"/>
        <v>Belum</v>
      </c>
      <c r="F36" s="13" t="str">
        <f t="shared" si="16"/>
        <v>OK</v>
      </c>
      <c r="G36" s="13" t="str">
        <f t="shared" si="16"/>
        <v>OK</v>
      </c>
      <c r="H36" s="13" t="str">
        <f t="shared" si="16"/>
        <v>Belum</v>
      </c>
      <c r="I36" s="13" t="str">
        <f t="shared" si="16"/>
        <v>Belum</v>
      </c>
      <c r="J36" s="13" t="str">
        <f t="shared" si="16"/>
        <v>Belum</v>
      </c>
      <c r="K36" s="13" t="str">
        <f t="shared" si="16"/>
        <v>Belum</v>
      </c>
      <c r="L36" s="13" t="str">
        <f t="shared" si="16"/>
        <v>OK</v>
      </c>
      <c r="M36" s="13" t="str">
        <f t="shared" si="16"/>
        <v>Belum</v>
      </c>
      <c r="N36" s="13" t="str">
        <f t="shared" si="16"/>
        <v>Belum</v>
      </c>
    </row>
    <row r="38" spans="1:14" x14ac:dyDescent="0.2">
      <c r="A38" s="1" t="s">
        <v>35</v>
      </c>
    </row>
    <row r="39" spans="1:14" x14ac:dyDescent="0.2">
      <c r="A39" s="2" t="s">
        <v>36</v>
      </c>
      <c r="B39" s="2" t="s">
        <v>37</v>
      </c>
      <c r="C39" s="2" t="s">
        <v>38</v>
      </c>
      <c r="D39" s="2" t="s">
        <v>39</v>
      </c>
      <c r="E39" s="2" t="s">
        <v>34</v>
      </c>
    </row>
    <row r="40" spans="1:14" x14ac:dyDescent="0.2">
      <c r="A40" s="6" t="s">
        <v>40</v>
      </c>
      <c r="B40" s="8">
        <f>IFERROR(I32/J32,0)</f>
        <v>0</v>
      </c>
      <c r="C40" s="4">
        <v>1</v>
      </c>
      <c r="D40" s="4">
        <v>2</v>
      </c>
      <c r="E40" s="13" t="str">
        <f>IF(AND(B40&gt;=C40-0.001,B40&lt;=D40+0.001),"OK","Belum")</f>
        <v>Belum</v>
      </c>
    </row>
    <row r="41" spans="1:14" x14ac:dyDescent="0.2">
      <c r="A41" s="6" t="s">
        <v>41</v>
      </c>
      <c r="B41" s="14">
        <f>IFERROR(9*E32/N32,0)</f>
        <v>0</v>
      </c>
      <c r="C41" s="15">
        <v>0.2</v>
      </c>
      <c r="D41" s="15">
        <v>0.35</v>
      </c>
      <c r="E41" s="13" t="str">
        <f>IF(AND(B41&gt;=C41-0.001,B41&lt;=D41+0.001),"OK","Belum")</f>
        <v>Belum</v>
      </c>
    </row>
    <row r="43" spans="1:14" x14ac:dyDescent="0.2">
      <c r="A43" s="1" t="s">
        <v>42</v>
      </c>
    </row>
    <row r="44" spans="1:14" x14ac:dyDescent="0.2">
      <c r="A44" s="6" t="s">
        <v>43</v>
      </c>
      <c r="B44" s="8">
        <f>I32-C40*J32</f>
        <v>0</v>
      </c>
    </row>
    <row r="45" spans="1:14" x14ac:dyDescent="0.2">
      <c r="A45" s="6" t="s">
        <v>44</v>
      </c>
      <c r="B45" s="8">
        <f>D40*J32-I32</f>
        <v>0</v>
      </c>
    </row>
    <row r="46" spans="1:14" x14ac:dyDescent="0.2">
      <c r="A46" s="6" t="s">
        <v>45</v>
      </c>
      <c r="B46" s="8">
        <f>9*E32-C41*N32</f>
        <v>0</v>
      </c>
    </row>
    <row r="47" spans="1:14" x14ac:dyDescent="0.2">
      <c r="A47" s="6" t="s">
        <v>46</v>
      </c>
      <c r="B47" s="8">
        <f>D41*N32-9*E32</f>
        <v>0</v>
      </c>
    </row>
    <row r="49" spans="1:1" x14ac:dyDescent="0.2">
      <c r="A49" s="1" t="s">
        <v>47</v>
      </c>
    </row>
    <row r="50" spans="1:1" x14ac:dyDescent="0.2">
      <c r="A50" s="16" t="s">
        <v>48</v>
      </c>
    </row>
    <row r="51" spans="1:1" x14ac:dyDescent="0.2">
      <c r="A51" s="16" t="s">
        <v>49</v>
      </c>
    </row>
    <row r="52" spans="1:1" x14ac:dyDescent="0.2">
      <c r="A52" s="16" t="s">
        <v>50</v>
      </c>
    </row>
    <row r="53" spans="1:1" x14ac:dyDescent="0.2">
      <c r="A53" s="16" t="s">
        <v>51</v>
      </c>
    </row>
    <row r="54" spans="1:1" x14ac:dyDescent="0.2">
      <c r="A54" s="16" t="s">
        <v>52</v>
      </c>
    </row>
    <row r="55" spans="1:1" x14ac:dyDescent="0.2">
      <c r="A55" s="16" t="s">
        <v>53</v>
      </c>
    </row>
    <row r="56" spans="1:1" x14ac:dyDescent="0.2">
      <c r="A56" s="16"/>
    </row>
    <row r="57" spans="1:1" x14ac:dyDescent="0.2">
      <c r="A57" s="1" t="s">
        <v>54</v>
      </c>
    </row>
    <row r="58" spans="1:1" x14ac:dyDescent="0.2">
      <c r="A58" s="16" t="s">
        <v>55</v>
      </c>
    </row>
    <row r="59" spans="1:1" x14ac:dyDescent="0.2">
      <c r="A59" s="16" t="s">
        <v>56</v>
      </c>
    </row>
    <row r="60" spans="1:1" x14ac:dyDescent="0.2">
      <c r="A60" s="16" t="s">
        <v>57</v>
      </c>
    </row>
    <row r="61" spans="1:1" x14ac:dyDescent="0.2">
      <c r="A61" s="16" t="s">
        <v>58</v>
      </c>
    </row>
    <row r="62" spans="1:1" x14ac:dyDescent="0.2">
      <c r="A62" s="16" t="s">
        <v>59</v>
      </c>
    </row>
    <row r="63" spans="1:1" x14ac:dyDescent="0.2">
      <c r="A63" s="16" t="s">
        <v>60</v>
      </c>
    </row>
    <row r="64" spans="1:1" x14ac:dyDescent="0.2">
      <c r="A64" s="1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Wicaksono Putro</cp:lastModifiedBy>
  <dcterms:created xsi:type="dcterms:W3CDTF">2026-09-27T14:46:41Z</dcterms:created>
  <dcterms:modified xsi:type="dcterms:W3CDTF">2026-09-28T04:51:17Z</dcterms:modified>
</cp:coreProperties>
</file>