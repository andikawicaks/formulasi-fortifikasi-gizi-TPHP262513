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wp/Documents/R-Studio/Praktikum Uji Sensoris/formulasi-fortifikasi-gizi/"/>
    </mc:Choice>
  </mc:AlternateContent>
  <xr:revisionPtr revIDLastSave="0" documentId="13_ncr:1_{38905076-DAB0-364A-ACBD-A65CB9EB555D}" xr6:coauthVersionLast="47" xr6:coauthVersionMax="47" xr10:uidLastSave="{00000000-0000-0000-0000-000000000000}"/>
  <bookViews>
    <workbookView xWindow="0" yWindow="660" windowWidth="29400" windowHeight="18460" xr2:uid="{FF84CCF4-5F0C-B242-886F-955B6AC7AF4F}"/>
  </bookViews>
  <sheets>
    <sheet name="Sheet1" sheetId="1" r:id="rId1"/>
  </sheets>
  <definedNames>
    <definedName name="solver_adj" localSheetId="0" hidden="1">Sheet1!$B$13:$B$16</definedName>
    <definedName name="solver_cvg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)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Sheet1!$B$20</definedName>
    <definedName name="solver_lhs2" localSheetId="0" hidden="1">Sheet1!$D$20</definedName>
    <definedName name="solver_lhs3" localSheetId="0" hidden="1">Sheet1!$E$20</definedName>
    <definedName name="solver_lhs4" localSheetId="0" hidden="1">Sheet1!$H$20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)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opt" localSheetId="0" hidden="1">Sheet1!$D$20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el3" localSheetId="0" hidden="1">2</definedName>
    <definedName name="solver_rel4" localSheetId="0" hidden="1">2</definedName>
    <definedName name="solver_rhs1" localSheetId="0" hidden="1">100</definedName>
    <definedName name="solver_rhs2" localSheetId="0" hidden="1">22</definedName>
    <definedName name="solver_rhs3" localSheetId="0" hidden="1">8</definedName>
    <definedName name="solver_rhs4" localSheetId="0" hidden="1">11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1</definedName>
    <definedName name="solver_typ" localSheetId="0" hidden="1">3</definedName>
    <definedName name="solver_val" localSheetId="0" hidden="1">22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" i="1" l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E13" i="1"/>
  <c r="F13" i="1"/>
  <c r="G13" i="1"/>
  <c r="H13" i="1"/>
  <c r="C14" i="1"/>
  <c r="C15" i="1"/>
  <c r="C16" i="1"/>
  <c r="C17" i="1"/>
  <c r="C18" i="1"/>
  <c r="C19" i="1"/>
  <c r="C13" i="1"/>
  <c r="D13" i="1"/>
  <c r="D20" i="1" l="1"/>
  <c r="H20" i="1"/>
  <c r="E20" i="1"/>
  <c r="G20" i="1"/>
  <c r="C20" i="1"/>
  <c r="F20" i="1"/>
</calcChain>
</file>

<file path=xl/sharedStrings.xml><?xml version="1.0" encoding="utf-8"?>
<sst xmlns="http://schemas.openxmlformats.org/spreadsheetml/2006/main" count="33" uniqueCount="19">
  <si>
    <t>Komposisi Bahan Baku</t>
  </si>
  <si>
    <t>Bahan Baku</t>
  </si>
  <si>
    <t>Air</t>
  </si>
  <si>
    <t>Protein</t>
  </si>
  <si>
    <t>Lemak</t>
  </si>
  <si>
    <t>Karbohidrat</t>
  </si>
  <si>
    <t>Serat (FOS)</t>
  </si>
  <si>
    <t>Ca</t>
  </si>
  <si>
    <t>Susu skim bubuk</t>
  </si>
  <si>
    <t>Maltodekstrin</t>
  </si>
  <si>
    <t>Bubuk lemak nabati (70% lemak)</t>
  </si>
  <si>
    <t>Kalsium karbonat</t>
  </si>
  <si>
    <t>FOS-inulin</t>
  </si>
  <si>
    <t>Bubuk DHA (mikroenkapsulasi)</t>
  </si>
  <si>
    <t>Premix vitamin-mineral</t>
  </si>
  <si>
    <t>Formula Susu Ibu Hamil</t>
  </si>
  <si>
    <t>Komposisi (%)</t>
  </si>
  <si>
    <t>Jumlah</t>
  </si>
  <si>
    <t>Kebutuhan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</si>
</sst>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2" fontId="2" fillId="2" borderId="0" xfId="0" applyNumberFormat="1" applyFont="1" applyFill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2DE84-AE7F-9C4C-9897-3476B79EA674}">
  <dimension ref="A1:H22"/>
  <sheetViews>
    <sheetView tabSelected="1" workbookViewId="0">
      <selection activeCell="B11" sqref="B11"/>
    </sheetView>
  </sheetViews>
  <sheetFormatPr baseColWidth="10" defaultRowHeight="16" x14ac:dyDescent="0.2"/>
  <cols>
    <col min="1" max="1" width="27.6640625" bestFit="1" customWidth="1"/>
    <col min="2" max="2" width="13.6640625" bestFit="1" customWidth="1"/>
    <col min="3" max="3" width="11.6640625" bestFit="1" customWidth="1"/>
    <col min="4" max="4" width="12.6640625" bestFit="1" customWidth="1"/>
    <col min="5" max="5" width="11.6640625" bestFit="1" customWidth="1"/>
    <col min="6" max="6" width="12.6640625" bestFit="1" customWidth="1"/>
    <col min="7" max="8" width="11.6640625" bestFit="1" customWidth="1"/>
  </cols>
  <sheetData>
    <row r="1" spans="1:8" x14ac:dyDescent="0.2">
      <c r="A1" t="s">
        <v>0</v>
      </c>
    </row>
    <row r="2" spans="1:8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 x14ac:dyDescent="0.2">
      <c r="A3" t="s">
        <v>8</v>
      </c>
      <c r="B3">
        <v>4</v>
      </c>
      <c r="C3">
        <v>34</v>
      </c>
      <c r="D3">
        <v>1</v>
      </c>
      <c r="E3">
        <v>52</v>
      </c>
      <c r="F3">
        <v>0</v>
      </c>
      <c r="G3">
        <v>1.25</v>
      </c>
    </row>
    <row r="4" spans="1:8" x14ac:dyDescent="0.2">
      <c r="A4" t="s">
        <v>9</v>
      </c>
      <c r="B4">
        <v>5</v>
      </c>
      <c r="C4">
        <v>0</v>
      </c>
      <c r="D4">
        <v>0</v>
      </c>
      <c r="E4">
        <v>95</v>
      </c>
      <c r="F4">
        <v>0</v>
      </c>
      <c r="G4">
        <v>0</v>
      </c>
    </row>
    <row r="5" spans="1:8" x14ac:dyDescent="0.2">
      <c r="A5" t="s">
        <v>10</v>
      </c>
      <c r="B5">
        <v>2</v>
      </c>
      <c r="C5">
        <v>3</v>
      </c>
      <c r="D5">
        <v>70</v>
      </c>
      <c r="E5">
        <v>23</v>
      </c>
      <c r="F5">
        <v>0</v>
      </c>
      <c r="G5">
        <v>0.02</v>
      </c>
    </row>
    <row r="6" spans="1:8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40</v>
      </c>
    </row>
    <row r="7" spans="1:8" x14ac:dyDescent="0.2">
      <c r="A7" t="s">
        <v>12</v>
      </c>
      <c r="B7">
        <v>5</v>
      </c>
      <c r="C7">
        <v>0</v>
      </c>
      <c r="D7">
        <v>0</v>
      </c>
      <c r="E7">
        <v>0</v>
      </c>
      <c r="F7">
        <v>95</v>
      </c>
      <c r="G7">
        <v>0</v>
      </c>
    </row>
    <row r="8" spans="1:8" x14ac:dyDescent="0.2">
      <c r="A8" t="s">
        <v>13</v>
      </c>
      <c r="B8">
        <v>3</v>
      </c>
      <c r="C8">
        <v>10</v>
      </c>
      <c r="D8">
        <v>45</v>
      </c>
      <c r="E8">
        <v>40</v>
      </c>
      <c r="F8">
        <v>0</v>
      </c>
      <c r="G8">
        <v>0</v>
      </c>
    </row>
    <row r="9" spans="1:8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1" spans="1:8" x14ac:dyDescent="0.2">
      <c r="A11" t="s">
        <v>15</v>
      </c>
    </row>
    <row r="12" spans="1:8" x14ac:dyDescent="0.2">
      <c r="A12" t="s">
        <v>1</v>
      </c>
      <c r="B12" t="s">
        <v>16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</row>
    <row r="13" spans="1:8" x14ac:dyDescent="0.2">
      <c r="A13" t="s">
        <v>8</v>
      </c>
      <c r="B13" s="2"/>
      <c r="C13" s="2">
        <f>$B13/100*B3</f>
        <v>0</v>
      </c>
      <c r="D13" s="2">
        <f>$B13/100*C3</f>
        <v>0</v>
      </c>
      <c r="E13" s="2">
        <f t="shared" ref="E13:H13" si="0">$B13/100*D3</f>
        <v>0</v>
      </c>
      <c r="F13" s="2">
        <f t="shared" si="0"/>
        <v>0</v>
      </c>
      <c r="G13" s="2">
        <f t="shared" si="0"/>
        <v>0</v>
      </c>
      <c r="H13" s="2">
        <f t="shared" si="0"/>
        <v>0</v>
      </c>
    </row>
    <row r="14" spans="1:8" x14ac:dyDescent="0.2">
      <c r="A14" t="s">
        <v>9</v>
      </c>
      <c r="B14" s="2"/>
      <c r="C14" s="2">
        <f t="shared" ref="C14:H19" si="1">$B14/100*B4</f>
        <v>0</v>
      </c>
      <c r="D14" s="2">
        <f t="shared" si="1"/>
        <v>0</v>
      </c>
      <c r="E14" s="2">
        <f t="shared" si="1"/>
        <v>0</v>
      </c>
      <c r="F14" s="2">
        <f t="shared" si="1"/>
        <v>0</v>
      </c>
      <c r="G14" s="2">
        <f t="shared" si="1"/>
        <v>0</v>
      </c>
      <c r="H14" s="2">
        <f t="shared" si="1"/>
        <v>0</v>
      </c>
    </row>
    <row r="15" spans="1:8" x14ac:dyDescent="0.2">
      <c r="A15" t="s">
        <v>10</v>
      </c>
      <c r="B15" s="2"/>
      <c r="C15" s="2">
        <f t="shared" si="1"/>
        <v>0</v>
      </c>
      <c r="D15" s="2">
        <f t="shared" si="1"/>
        <v>0</v>
      </c>
      <c r="E15" s="2">
        <f t="shared" si="1"/>
        <v>0</v>
      </c>
      <c r="F15" s="2">
        <f t="shared" si="1"/>
        <v>0</v>
      </c>
      <c r="G15" s="2">
        <f t="shared" si="1"/>
        <v>0</v>
      </c>
      <c r="H15" s="2">
        <f t="shared" si="1"/>
        <v>0</v>
      </c>
    </row>
    <row r="16" spans="1:8" x14ac:dyDescent="0.2">
      <c r="A16" t="s">
        <v>11</v>
      </c>
      <c r="B16" s="2"/>
      <c r="C16" s="2">
        <f t="shared" si="1"/>
        <v>0</v>
      </c>
      <c r="D16" s="2">
        <f t="shared" si="1"/>
        <v>0</v>
      </c>
      <c r="E16" s="2">
        <f t="shared" si="1"/>
        <v>0</v>
      </c>
      <c r="F16" s="2">
        <f t="shared" si="1"/>
        <v>0</v>
      </c>
      <c r="G16" s="2">
        <f t="shared" si="1"/>
        <v>0</v>
      </c>
      <c r="H16" s="2">
        <f t="shared" si="1"/>
        <v>0</v>
      </c>
    </row>
    <row r="17" spans="1:8" x14ac:dyDescent="0.2">
      <c r="A17" t="s">
        <v>12</v>
      </c>
      <c r="B17" s="3">
        <v>3</v>
      </c>
      <c r="C17" s="2">
        <f t="shared" si="1"/>
        <v>0.15</v>
      </c>
      <c r="D17" s="2">
        <f t="shared" si="1"/>
        <v>0</v>
      </c>
      <c r="E17" s="2">
        <f t="shared" si="1"/>
        <v>0</v>
      </c>
      <c r="F17" s="2">
        <f t="shared" si="1"/>
        <v>0</v>
      </c>
      <c r="G17" s="2">
        <f t="shared" si="1"/>
        <v>2.85</v>
      </c>
      <c r="H17" s="2">
        <f t="shared" si="1"/>
        <v>0</v>
      </c>
    </row>
    <row r="18" spans="1:8" x14ac:dyDescent="0.2">
      <c r="A18" t="s">
        <v>13</v>
      </c>
      <c r="B18" s="3">
        <v>1</v>
      </c>
      <c r="C18" s="2">
        <f t="shared" si="1"/>
        <v>0.03</v>
      </c>
      <c r="D18" s="2">
        <f t="shared" si="1"/>
        <v>0.1</v>
      </c>
      <c r="E18" s="2">
        <f t="shared" si="1"/>
        <v>0.45</v>
      </c>
      <c r="F18" s="2">
        <f t="shared" si="1"/>
        <v>0.4</v>
      </c>
      <c r="G18" s="2">
        <f t="shared" si="1"/>
        <v>0</v>
      </c>
      <c r="H18" s="2">
        <f t="shared" si="1"/>
        <v>0</v>
      </c>
    </row>
    <row r="19" spans="1:8" x14ac:dyDescent="0.2">
      <c r="A19" t="s">
        <v>14</v>
      </c>
      <c r="B19" s="3">
        <v>1</v>
      </c>
      <c r="C19" s="2">
        <f t="shared" si="1"/>
        <v>0</v>
      </c>
      <c r="D19" s="2">
        <f t="shared" si="1"/>
        <v>0</v>
      </c>
      <c r="E19" s="2">
        <f t="shared" si="1"/>
        <v>0</v>
      </c>
      <c r="F19" s="2">
        <f t="shared" si="1"/>
        <v>0</v>
      </c>
      <c r="G19" s="2">
        <f t="shared" si="1"/>
        <v>0</v>
      </c>
      <c r="H19" s="2">
        <f t="shared" si="1"/>
        <v>0</v>
      </c>
    </row>
    <row r="20" spans="1:8" x14ac:dyDescent="0.2">
      <c r="A20" s="1" t="s">
        <v>17</v>
      </c>
      <c r="B20" s="4">
        <f>SUM(B13:B19)</f>
        <v>5</v>
      </c>
      <c r="C20" s="4">
        <f t="shared" ref="C20:H20" si="2">SUM(C13:C19)</f>
        <v>0.18</v>
      </c>
      <c r="D20" s="4">
        <f t="shared" si="2"/>
        <v>0.1</v>
      </c>
      <c r="E20" s="4">
        <f t="shared" si="2"/>
        <v>0.45</v>
      </c>
      <c r="F20" s="4">
        <f t="shared" si="2"/>
        <v>0.4</v>
      </c>
      <c r="G20" s="4">
        <f t="shared" si="2"/>
        <v>2.85</v>
      </c>
      <c r="H20" s="4">
        <f t="shared" si="2"/>
        <v>0</v>
      </c>
    </row>
    <row r="22" spans="1:8" x14ac:dyDescent="0.2">
      <c r="A22" t="s">
        <v>18</v>
      </c>
      <c r="B22">
        <v>100</v>
      </c>
      <c r="D22">
        <v>22</v>
      </c>
      <c r="E22">
        <v>8</v>
      </c>
      <c r="H22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Wicaksono Putro</dc:creator>
  <cp:lastModifiedBy>Andika Wicaksono Putro</cp:lastModifiedBy>
  <dcterms:created xsi:type="dcterms:W3CDTF">2026-09-27T13:49:24Z</dcterms:created>
  <dcterms:modified xsi:type="dcterms:W3CDTF">2026-09-27T14:53:15Z</dcterms:modified>
</cp:coreProperties>
</file>